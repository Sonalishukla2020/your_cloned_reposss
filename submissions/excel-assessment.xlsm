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DELL\Desktop\Assignment Class\MapUp-DA-Assessment-2024\"/>
    </mc:Choice>
  </mc:AlternateContent>
  <bookViews>
    <workbookView xWindow="0" yWindow="504" windowWidth="29400" windowHeight="16296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/>
  <c r="F30" i="18" l="1"/>
  <c r="E30" i="18"/>
  <c r="D30" i="18"/>
  <c r="C30" i="18"/>
  <c r="F29" i="18"/>
  <c r="E29" i="18"/>
  <c r="D29" i="18"/>
  <c r="C29" i="18"/>
  <c r="C28" i="18"/>
  <c r="F28" i="18"/>
  <c r="E28" i="18"/>
  <c r="D28" i="18"/>
  <c r="B28" i="18"/>
  <c r="B16" i="18"/>
  <c r="B29" i="18" s="1"/>
  <c r="B7" i="18"/>
  <c r="B8" i="18"/>
  <c r="B9" i="18"/>
  <c r="B10" i="18"/>
  <c r="B11" i="18"/>
  <c r="B12" i="18"/>
  <c r="B13" i="18"/>
  <c r="B14" i="18"/>
  <c r="B15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B30" i="18" l="1"/>
  <c r="AC32" i="1"/>
  <c r="Z4" i="15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<sst xmlns="http://schemas.openxmlformats.org/spreadsheetml/2006/main" count="404" uniqueCount="181">
  <si>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</si>
  <si>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</si>
  <si>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</si>
  <si>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</si>
  <si>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</si>
  <si>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</si>
  <si>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</si>
  <si>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</si>
  <si>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</si>
  <si>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</si>
  <si>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</si>
  <si>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</si>
  <si>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</si>
  <si>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</si>
  <si>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</si>
  <si>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</si>
  <si>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</si>
  <si>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</si>
  <si>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</si>
  <si>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</si>
  <si>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</si>
  <si>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</si>
  <si>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</si>
  <si>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</si>
  <si>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</si>
  <si>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</si>
  <si>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</si>
  <si>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</si>
  <si>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</si>
  <si>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</si>
  <si>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</si>
  <si>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</si>
  <si>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</si>
  <si>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</si>
  <si>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</si>
  <si>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</si>
  <si>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</si>
  <si>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</si>
  <si>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</si>
  <si>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</si>
  <si>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</si>
  <si>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</si>
  <si>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</si>
  <si>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</si>
  <si>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</si>
  <si>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</si>
  <si>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</si>
  <si>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</si>
  <si>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</si>
  <si>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</si>
  <si>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</si>
  <si>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</si>
  <si>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</si>
  <si>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</si>
  <si>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</si>
  <si>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</si>
  <si>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</si>
  <si>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</si>
  <si>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</si>
  <si>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</si>
  <si>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</si>
  <si>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</si>
  <si>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</si>
  <si>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</si>
  <si>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</si>
  <si>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</si>
  <si>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</si>
  <si>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</si>
  <si>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</si>
  <si>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</si>
  <si>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</si>
  <si>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</si>
  <si>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</si>
  <si>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</si>
  <si>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</si>
  <si>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</si>
  <si>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</si>
  <si>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</si>
  <si>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</si>
  <si>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</si>
  <si>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</si>
  <si>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</si>
  <si>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</si>
  <si>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</si>
  <si>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</si>
  <si>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</si>
  <si>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</si>
  <si>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</si>
  <si>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</si>
  <si>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</si>
  <si>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</si>
  <si>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</si>
  <si>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</si>
  <si>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</si>
  <si>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</si>
  <si>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</si>
  <si>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</si>
  <si>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</si>
  <si>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</si>
  <si>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</si>
  <si>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</si>
  <si>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</si>
  <si>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</si>
  <si>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</si>
  <si>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</si>
  <si>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</si>
  <si>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</si>
  <si>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</si>
  <si>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</si>
  <si>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</si>
  <si>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</si>
  <si>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</si>
  <si>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</si>
  <si>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</si>
  <si>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</si>
  <si>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</si>
  <si>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</si>
  <si>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</si>
  <si>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</si>
  <si>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</si>
  <si>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</si>
  <si>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</si>
  <si>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</si>
  <si>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</si>
  <si>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</si>
  <si>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</si>
  <si>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</si>
  <si>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</si>
  <si>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</si>
  <si>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</si>
  <si>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</si>
  <si>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</si>
  <si>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</si>
  <si>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</si>
  <si>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</si>
  <si>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</si>
  <si>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</si>
  <si>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</si>
  <si>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</si>
  <si>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</si>
  <si>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</si>
  <si>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</si>
  <si>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</si>
  <si>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</si>
  <si>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</si>
  <si>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</si>
  <si>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</si>
  <si>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</si>
  <si>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</si>
  <si>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</si>
  <si>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</si>
  <si>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</si>
  <si>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</si>
  <si>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</si>
  <si>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</si>
  <si>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</si>
  <si>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</si>
  <si>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</si>
  <si>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</si>
  <si>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</si>
  <si>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</si>
  <si>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</si>
  <si>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</si>
  <si>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</si>
  <si>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</si>
  <si>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</si>
  <si>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</si>
  <si>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</si>
  <si>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</si>
  <si>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</si>
  <si>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</si>
  <si>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</si>
  <si>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</si>
  <si>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</si>
  <si>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</si>
  <si>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</si>
  <si>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</si>
  <si>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 xml:space="preserve"> =SUMIF(H:H, "&gt;20")</t>
  </si>
  <si>
    <t xml:space="preserve">  sum = 1473</t>
  </si>
  <si>
    <t xml:space="preserve"> =SUM(IFERROR(C12:C21, 20))</t>
  </si>
  <si>
    <t>For calculate the sum of sales in Table_A while substituting all #N/A values with 20, you can use the SUM function combined with the IFERROR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</si>
</sst>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8">
    <dxf>
      <font>
        <color theme="9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</dxf>
    <dxf>
      <font>
        <b val="0"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42"/>
  <sheetViews>
    <sheetView topLeftCell="B1" zoomScaleNormal="100" workbookViewId="0">
      <pane ySplit="1" topLeftCell="A2" activePane="bottomLeft" state="frozen"/>
      <selection pane="bottomLeft" activeCell="V2" sqref="V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7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 x14ac:dyDescent="0.3">
      <c r="A1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22" t="s">
        <v>67</v>
      </c>
      <c r="K1" s="22" t="s">
        <v>68</v>
      </c>
      <c r="L1" s="22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7">
        <v>-1</v>
      </c>
      <c r="K2" s="17">
        <v>-1</v>
      </c>
      <c r="L2" s="17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7">
        <v>-1</v>
      </c>
      <c r="K3" s="17">
        <v>-1</v>
      </c>
      <c r="L3" s="17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7">
        <v>-1</v>
      </c>
      <c r="K4" s="17">
        <v>-1</v>
      </c>
      <c r="L4" s="17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7">
        <v>-1</v>
      </c>
      <c r="K5" s="17">
        <v>-1</v>
      </c>
      <c r="L5" s="17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7">
        <v>-1</v>
      </c>
      <c r="K6" s="17">
        <v>-1</v>
      </c>
      <c r="L6" s="17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7">
        <v>-1</v>
      </c>
      <c r="K7" s="17">
        <v>-1</v>
      </c>
      <c r="L7" s="17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7">
        <v>-1</v>
      </c>
      <c r="K8" s="17">
        <v>-1</v>
      </c>
      <c r="L8" s="17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7">
        <v>-1</v>
      </c>
      <c r="K9" s="17">
        <v>-1</v>
      </c>
      <c r="L9" s="17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7">
        <v>-1</v>
      </c>
      <c r="K10" s="17">
        <v>-1</v>
      </c>
      <c r="L10" s="17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7">
        <v>-1</v>
      </c>
      <c r="K11" s="17">
        <v>-1</v>
      </c>
      <c r="L11" s="17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7">
        <v>0</v>
      </c>
      <c r="K12" s="17">
        <v>0</v>
      </c>
      <c r="L12" s="17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7">
        <v>-1</v>
      </c>
      <c r="K13" s="17">
        <v>-1</v>
      </c>
      <c r="L13" s="17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7">
        <v>-1</v>
      </c>
      <c r="K14" s="17">
        <v>-1</v>
      </c>
      <c r="L14" s="17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7">
        <v>-1</v>
      </c>
      <c r="K15" s="17">
        <v>-1</v>
      </c>
      <c r="L15" s="17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7">
        <v>-1</v>
      </c>
      <c r="K16" s="17">
        <v>-1</v>
      </c>
      <c r="L16" s="17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9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7">
        <v>-1</v>
      </c>
      <c r="K17" s="17">
        <v>-1</v>
      </c>
      <c r="L17" s="17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9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7">
        <v>-1</v>
      </c>
      <c r="K18" s="17">
        <v>-1</v>
      </c>
      <c r="L18" s="17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9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7">
        <v>-1</v>
      </c>
      <c r="K19" s="17">
        <v>-1</v>
      </c>
      <c r="L19" s="17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9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7">
        <v>-1</v>
      </c>
      <c r="K20" s="17">
        <v>-1</v>
      </c>
      <c r="L20" s="17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9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7">
        <v>-1</v>
      </c>
      <c r="K21" s="17">
        <v>-1</v>
      </c>
      <c r="L21" s="17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9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7">
        <v>-1</v>
      </c>
      <c r="K22" s="17">
        <v>-1</v>
      </c>
      <c r="L22" s="17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9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7">
        <v>-1</v>
      </c>
      <c r="K23" s="17">
        <v>-1</v>
      </c>
      <c r="L23" s="17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9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7">
        <v>-1</v>
      </c>
      <c r="K24" s="17">
        <v>-1</v>
      </c>
      <c r="L24" s="17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9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7">
        <v>-1</v>
      </c>
      <c r="K25" s="17">
        <v>-1</v>
      </c>
      <c r="L25" s="17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9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7">
        <v>0</v>
      </c>
      <c r="K26" s="17">
        <v>0</v>
      </c>
      <c r="L26" s="17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9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7">
        <v>-1</v>
      </c>
      <c r="K27" s="17">
        <v>-1</v>
      </c>
      <c r="L27" s="17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9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7">
        <v>-1</v>
      </c>
      <c r="K28" s="17">
        <v>-1</v>
      </c>
      <c r="L28" s="17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9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7">
        <v>-1</v>
      </c>
      <c r="K29" s="17">
        <v>-1</v>
      </c>
      <c r="L29" s="17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9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7">
        <v>-1</v>
      </c>
      <c r="K30" s="17">
        <v>-1</v>
      </c>
      <c r="L30" s="17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9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7">
        <v>-1</v>
      </c>
      <c r="K31" s="17">
        <v>-1</v>
      </c>
      <c r="L31" s="17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9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7">
        <v>-1</v>
      </c>
      <c r="K32" s="17">
        <v>-1</v>
      </c>
      <c r="L32" s="17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  <c r="AC32" s="1">
        <f>SUMIF(H:H, "&gt;20")</f>
        <v>1473.0000000000002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7">
        <v>-1</v>
      </c>
      <c r="K33" s="17">
        <v>-1</v>
      </c>
      <c r="L33" s="17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7">
        <v>-1</v>
      </c>
      <c r="K34" s="17">
        <v>-1</v>
      </c>
      <c r="L34" s="17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7">
        <v>-1</v>
      </c>
      <c r="K35" s="17">
        <v>-1</v>
      </c>
      <c r="L35" s="17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7">
        <v>-1</v>
      </c>
      <c r="K36" s="17">
        <v>-1</v>
      </c>
      <c r="L36" s="17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7">
        <v>-1</v>
      </c>
      <c r="K37" s="17">
        <v>-1</v>
      </c>
      <c r="L37" s="17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7">
        <v>-1</v>
      </c>
      <c r="K38" s="17">
        <v>-1</v>
      </c>
      <c r="L38" s="17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7">
        <v>-1</v>
      </c>
      <c r="K39" s="17">
        <v>-1</v>
      </c>
      <c r="L39" s="17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7">
        <v>-1</v>
      </c>
      <c r="K40" s="17">
        <v>-1</v>
      </c>
      <c r="L40" s="17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2" spans="1:24" x14ac:dyDescent="0.3">
      <c r="H42" s="1" t="s">
        <v>178</v>
      </c>
    </row>
  </sheetData>
  <conditionalFormatting sqref="A1:A1048576">
    <cfRule type="duplicateValues" dxfId="5" priority="8"/>
  </conditionalFormatting>
  <conditionalFormatting sqref="B1:B1048576">
    <cfRule type="duplicateValues" dxfId="4" priority="7"/>
  </conditionalFormatting>
  <conditionalFormatting sqref="J1:L1048576">
    <cfRule type="colorScale" priority="6">
      <colorScale>
        <cfvo type="num" val="-1+$J$1:$L$1"/>
        <cfvo type="num" val="-1+$J$1:$L$1"/>
        <color rgb="FFFF0000"/>
        <color theme="9"/>
      </colorScale>
    </cfRule>
    <cfRule type="expression" dxfId="3" priority="4">
      <formula>J&amp;$J$1:$L$1=-1</formula>
    </cfRule>
    <cfRule type="expression" dxfId="2" priority="3">
      <formula>A1=-1</formula>
    </cfRule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4"/>
  <sheetViews>
    <sheetView zoomScaleNormal="100" workbookViewId="0">
      <pane ySplit="1" topLeftCell="A2" activePane="bottomLeft" state="frozen"/>
      <selection pane="bottomLeft"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26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26" x14ac:dyDescent="0.3">
      <c r="A2" s="2"/>
      <c r="B2" s="5" t="s">
        <v>159</v>
      </c>
      <c r="C2" s="2"/>
    </row>
    <row r="3" spans="1:26" x14ac:dyDescent="0.3">
      <c r="A3" s="6">
        <v>1</v>
      </c>
      <c r="B3" s="2" t="s">
        <v>107</v>
      </c>
      <c r="C3" s="2" t="s">
        <v>45</v>
      </c>
      <c r="E3" s="1">
        <v>5</v>
      </c>
    </row>
    <row r="4" spans="1:26" x14ac:dyDescent="0.3">
      <c r="A4" s="6">
        <v>2</v>
      </c>
      <c r="B4" s="2" t="s">
        <v>46</v>
      </c>
      <c r="C4" s="2"/>
      <c r="E4" s="1">
        <v>5</v>
      </c>
      <c r="Z4" s="1" t="b">
        <f>Task_1!C5=SUMIF(H:H, "&gt;20")</f>
        <v>0</v>
      </c>
    </row>
    <row r="5" spans="1:26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26" x14ac:dyDescent="0.3">
      <c r="A6" s="6">
        <v>4</v>
      </c>
      <c r="B6" s="2" t="s">
        <v>106</v>
      </c>
      <c r="C6" s="2"/>
      <c r="E6" s="1">
        <v>5</v>
      </c>
    </row>
    <row r="7" spans="1:26" x14ac:dyDescent="0.3">
      <c r="A7" s="2"/>
      <c r="B7" s="2"/>
      <c r="C7" s="2"/>
    </row>
    <row r="13" spans="1:26" x14ac:dyDescent="0.3">
      <c r="E13" s="2"/>
    </row>
    <row r="14" spans="1:26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="82" zoomScaleNormal="10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">
        <f>VLOOKUP(A6,Dataset!A1:X40,7,0)</f>
        <v>2.7</v>
      </c>
      <c r="C6" s="12">
        <f>VLOOKUP(A6,Dataset!A1:X40,14,0)</f>
        <v>7.6</v>
      </c>
      <c r="D6" s="12">
        <f>VLOOKUP(A6,Dataset!A1:X40,18,0)</f>
        <v>4.2</v>
      </c>
      <c r="E6" s="12">
        <f>VLOOKUP(A6,Dataset!A1:X40,20,0)</f>
        <v>8.9</v>
      </c>
      <c r="F6" s="8">
        <f>VLOOKUP(A6,Dataset!A1:X40,22,0)</f>
        <v>4.2</v>
      </c>
    </row>
    <row r="7" spans="1:7" ht="14.4" x14ac:dyDescent="0.3">
      <c r="A7" s="7" t="s">
        <v>4</v>
      </c>
      <c r="B7" s="1">
        <f>VLOOKUP(A7,Dataset!A2:X41,7,0)</f>
        <v>2.7</v>
      </c>
      <c r="C7" s="12">
        <f>VLOOKUP(A7,Dataset!A2:X41,14,0)</f>
        <v>7.6</v>
      </c>
      <c r="D7" s="12">
        <f>VLOOKUP(A7,Dataset!A2:X41,18,0)</f>
        <v>4.2</v>
      </c>
      <c r="E7" s="12">
        <f>VLOOKUP(A7,Dataset!A2:X41,20,0)</f>
        <v>8.9</v>
      </c>
      <c r="F7" s="8">
        <f>VLOOKUP(A7,Dataset!A2:X41,22,0)</f>
        <v>4.2</v>
      </c>
    </row>
    <row r="8" spans="1:7" ht="14.4" x14ac:dyDescent="0.3">
      <c r="A8" s="7" t="s">
        <v>7</v>
      </c>
      <c r="B8" s="1">
        <f>VLOOKUP(A8,Dataset!A3:X42,7,0)</f>
        <v>3.6</v>
      </c>
      <c r="C8" s="12">
        <f>VLOOKUP(A8,Dataset!A3:X42,14,0)</f>
        <v>11.1</v>
      </c>
      <c r="D8" s="12">
        <f>VLOOKUP(A8,Dataset!A3:X42,18,0)</f>
        <v>5.8</v>
      </c>
      <c r="E8" s="12">
        <f>VLOOKUP(A8,Dataset!A3:X42,20,0)</f>
        <v>12.2</v>
      </c>
      <c r="F8" s="8">
        <f>VLOOKUP(A8,Dataset!A3:X42,22,0)</f>
        <v>5.8</v>
      </c>
    </row>
    <row r="9" spans="1:7" ht="14.4" x14ac:dyDescent="0.3">
      <c r="A9" s="7" t="s">
        <v>8</v>
      </c>
      <c r="B9" s="1">
        <f>VLOOKUP(A9,Dataset!A4:X43,7,0)</f>
        <v>4.9000000000000004</v>
      </c>
      <c r="C9" s="12">
        <f>VLOOKUP(A9,Dataset!A4:X43,14,0)</f>
        <v>13.3</v>
      </c>
      <c r="D9" s="12">
        <f>VLOOKUP(A9,Dataset!A4:X43,18,0)</f>
        <v>8.1</v>
      </c>
      <c r="E9" s="12">
        <f>VLOOKUP(A9,Dataset!A4:X43,20,0)</f>
        <v>17</v>
      </c>
      <c r="F9" s="8">
        <f>VLOOKUP(A9,Dataset!A4:X43,22,0)</f>
        <v>8.1</v>
      </c>
    </row>
    <row r="10" spans="1:7" ht="14.4" x14ac:dyDescent="0.3">
      <c r="A10" s="7" t="s">
        <v>11</v>
      </c>
      <c r="B10" s="1">
        <f>VLOOKUP(A10,Dataset!A5:X44,7,0)</f>
        <v>9.4</v>
      </c>
      <c r="C10" s="12">
        <f>VLOOKUP(A10,Dataset!A5:X44,14,0)</f>
        <v>28.3</v>
      </c>
      <c r="D10" s="12">
        <f>VLOOKUP(A10,Dataset!A5:X44,18,0)</f>
        <v>16.100000000000001</v>
      </c>
      <c r="E10" s="12">
        <f>VLOOKUP(A10,Dataset!A5:X44,20,0)</f>
        <v>32.799999999999997</v>
      </c>
      <c r="F10" s="8">
        <f>VLOOKUP(A10,Dataset!A5:X44,22,0)</f>
        <v>16.100000000000001</v>
      </c>
    </row>
    <row r="11" spans="1:7" ht="14.4" x14ac:dyDescent="0.3">
      <c r="A11" s="7" t="s">
        <v>12</v>
      </c>
      <c r="B11" s="1">
        <f>VLOOKUP(A11,Dataset!A6:X45,7,0)</f>
        <v>11.6</v>
      </c>
      <c r="C11" s="12">
        <f>VLOOKUP(A11,Dataset!A6:X45,14,0)</f>
        <v>35.200000000000003</v>
      </c>
      <c r="D11" s="12">
        <f>VLOOKUP(A11,Dataset!A6:X45,18,0)</f>
        <v>21.3</v>
      </c>
      <c r="E11" s="12">
        <f>VLOOKUP(A11,Dataset!A6:X45,20,0)</f>
        <v>43</v>
      </c>
      <c r="F11" s="8">
        <f>VLOOKUP(A11,Dataset!A6:X45,22,0)</f>
        <v>21.3</v>
      </c>
    </row>
    <row r="12" spans="1:7" ht="14.4" x14ac:dyDescent="0.3">
      <c r="A12" s="7" t="s">
        <v>14</v>
      </c>
      <c r="B12" s="1">
        <f>VLOOKUP(A12,Dataset!A7:X46,7,0)</f>
        <v>18.399999999999999</v>
      </c>
      <c r="C12" s="12">
        <f>VLOOKUP(A12,Dataset!A7:X46,14,0)</f>
        <v>55.6</v>
      </c>
      <c r="D12" s="12">
        <f>VLOOKUP(A12,Dataset!A7:X46,18,0)</f>
        <v>33.799999999999997</v>
      </c>
      <c r="E12" s="12">
        <f>VLOOKUP(A12,Dataset!A7:X46,20,0)</f>
        <v>67.900000000000006</v>
      </c>
      <c r="F12" s="8">
        <f>VLOOKUP(A12,Dataset!A7:X46,22,0)</f>
        <v>33.799999999999997</v>
      </c>
    </row>
    <row r="13" spans="1:7" ht="14.4" x14ac:dyDescent="0.3">
      <c r="A13" s="7" t="s">
        <v>15</v>
      </c>
      <c r="B13" s="1">
        <f>VLOOKUP(A13,Dataset!A8:X47,7,0)</f>
        <v>0</v>
      </c>
      <c r="C13" s="12">
        <f>VLOOKUP(A13,Dataset!A8:X47,14,0)</f>
        <v>0</v>
      </c>
      <c r="D13" s="12">
        <f>VLOOKUP(A13,Dataset!A8:X47,18,0)</f>
        <v>0</v>
      </c>
      <c r="E13" s="12">
        <f>VLOOKUP(A13,Dataset!A8:X47,20,0)</f>
        <v>0</v>
      </c>
      <c r="F13" s="8">
        <f>VLOOKUP(A13,Dataset!A8:X47,22,0)</f>
        <v>0</v>
      </c>
    </row>
    <row r="14" spans="1:7" ht="14.4" x14ac:dyDescent="0.3">
      <c r="A14" s="7" t="s">
        <v>16</v>
      </c>
      <c r="B14" s="1">
        <f>VLOOKUP(A14,Dataset!A9:X48,7,0)</f>
        <v>21.9</v>
      </c>
      <c r="C14" s="12">
        <f>VLOOKUP(A14,Dataset!A9:X48,14,0)</f>
        <v>61.5</v>
      </c>
      <c r="D14" s="12">
        <f>VLOOKUP(A14,Dataset!A9:X48,18,0)</f>
        <v>40.1</v>
      </c>
      <c r="E14" s="12">
        <f>VLOOKUP(A14,Dataset!A9:X48,20,0)</f>
        <v>76.599999999999994</v>
      </c>
      <c r="F14" s="8">
        <f>VLOOKUP(A14,Dataset!A9:X48,22,0)</f>
        <v>40.1</v>
      </c>
    </row>
    <row r="15" spans="1:7" ht="14.4" x14ac:dyDescent="0.3">
      <c r="A15" s="7" t="s">
        <v>18</v>
      </c>
      <c r="B15" s="1">
        <f>VLOOKUP(A15,Dataset!A10:X49,7,0)</f>
        <v>26.8</v>
      </c>
      <c r="C15" s="12">
        <f>VLOOKUP(A15,Dataset!A10:X49,14,0)</f>
        <v>79.599999999999994</v>
      </c>
      <c r="D15" s="12">
        <f>VLOOKUP(A15,Dataset!A10:X49,18,0)</f>
        <v>47.9</v>
      </c>
      <c r="E15" s="12">
        <f>VLOOKUP(A15,Dataset!A10:X49,20,0)</f>
        <v>96.8</v>
      </c>
      <c r="F15" s="8">
        <f>VLOOKUP(A15,Dataset!A10:X49,22,0)</f>
        <v>47.9</v>
      </c>
    </row>
    <row r="16" spans="1:7" ht="14.4" x14ac:dyDescent="0.3">
      <c r="A16" s="7" t="s">
        <v>20</v>
      </c>
      <c r="B16" s="1">
        <f>VLOOKUP(A16,Dataset!A11:X50,7,0)</f>
        <v>28.5</v>
      </c>
      <c r="C16" s="12">
        <f>VLOOKUP(A16,Dataset!A11:X50,14,0)</f>
        <v>85.4</v>
      </c>
      <c r="D16" s="12">
        <f>VLOOKUP(A16,Dataset!A11:X50,18,0)</f>
        <v>52.3</v>
      </c>
      <c r="E16" s="12">
        <f>VLOOKUP(A16,Dataset!A11:X50,20,0)</f>
        <v>106.1</v>
      </c>
      <c r="F16" s="8">
        <f>VLOOKUP(A16,Dataset!A11:X50,22,0)</f>
        <v>52.3</v>
      </c>
    </row>
    <row r="17" spans="1:6" ht="14.4" x14ac:dyDescent="0.3">
      <c r="A17" s="7" t="s">
        <v>22</v>
      </c>
      <c r="B17" s="1">
        <f>VLOOKUP(A17,Dataset!A12:X51,7,0)</f>
        <v>30.7</v>
      </c>
      <c r="C17" s="12">
        <f>VLOOKUP(A17,Dataset!A12:X51,14,0)</f>
        <v>92.1</v>
      </c>
      <c r="D17" s="12">
        <f>VLOOKUP(A17,Dataset!A12:X51,18,0)</f>
        <v>57</v>
      </c>
      <c r="E17" s="12">
        <f>VLOOKUP(A17,Dataset!A12:X51,20,0)</f>
        <v>115.1</v>
      </c>
      <c r="F17" s="8">
        <f>VLOOKUP(A17,Dataset!A12:X51,22,0)</f>
        <v>57</v>
      </c>
    </row>
    <row r="18" spans="1:6" ht="14.4" x14ac:dyDescent="0.3">
      <c r="A18" s="7" t="s">
        <v>23</v>
      </c>
      <c r="B18" s="1">
        <f>VLOOKUP(A18,Dataset!A13:X52,7,0)</f>
        <v>33.799999999999997</v>
      </c>
      <c r="C18" s="12">
        <f>VLOOKUP(A18,Dataset!A13:X52,14,0)</f>
        <v>101.3</v>
      </c>
      <c r="D18" s="12">
        <f>VLOOKUP(A18,Dataset!A13:X52,18,0)</f>
        <v>61.4</v>
      </c>
      <c r="E18" s="12">
        <f>VLOOKUP(A18,Dataset!A13:X52,20,0)</f>
        <v>124.4</v>
      </c>
      <c r="F18" s="8">
        <f>VLOOKUP(A18,Dataset!A13:X52,22,0)</f>
        <v>61.4</v>
      </c>
    </row>
    <row r="19" spans="1:6" ht="14.4" x14ac:dyDescent="0.3">
      <c r="A19" s="7" t="s">
        <v>24</v>
      </c>
      <c r="B19" s="1">
        <f>VLOOKUP(A19,Dataset!A14:X53,7,0)</f>
        <v>34.700000000000003</v>
      </c>
      <c r="C19" s="12">
        <f>VLOOKUP(A19,Dataset!A14:X53,14,0)</f>
        <v>106.1</v>
      </c>
      <c r="D19" s="12">
        <f>VLOOKUP(A19,Dataset!A14:X53,18,0)</f>
        <v>63.6</v>
      </c>
      <c r="E19" s="12">
        <f>VLOOKUP(A19,Dataset!A14:X53,20,0)</f>
        <v>128.6</v>
      </c>
      <c r="F19" s="8">
        <f>VLOOKUP(A19,Dataset!A14:X53,22,0)</f>
        <v>63.6</v>
      </c>
    </row>
    <row r="20" spans="1:6" ht="14.4" x14ac:dyDescent="0.3">
      <c r="A20" s="7" t="s">
        <v>28</v>
      </c>
      <c r="B20" s="1">
        <f>VLOOKUP(A20,Dataset!A15:X54,7,0)</f>
        <v>0</v>
      </c>
      <c r="C20" s="12">
        <f>VLOOKUP(A20,Dataset!A15:X54,14,0)</f>
        <v>0</v>
      </c>
      <c r="D20" s="12">
        <f>VLOOKUP(A20,Dataset!A15:X54,18,0)</f>
        <v>0</v>
      </c>
      <c r="E20" s="12">
        <f>VLOOKUP(A20,Dataset!A15:X54,20,0)</f>
        <v>0</v>
      </c>
      <c r="F20" s="8">
        <f>VLOOKUP(A20,Dataset!A15:X54,22,0)</f>
        <v>0</v>
      </c>
    </row>
    <row r="21" spans="1:6" ht="14.4" x14ac:dyDescent="0.3">
      <c r="A21" s="7" t="s">
        <v>57</v>
      </c>
      <c r="B21" s="1">
        <f>VLOOKUP(A21,Dataset!A16:X55,7,0)</f>
        <v>41.3</v>
      </c>
      <c r="C21" s="12">
        <f>VLOOKUP(A21,Dataset!A16:X55,14,0)</f>
        <v>124.4</v>
      </c>
      <c r="D21" s="12">
        <f>VLOOKUP(A21,Dataset!A16:X55,18,0)</f>
        <v>75</v>
      </c>
      <c r="E21" s="12">
        <f>VLOOKUP(A21,Dataset!A16:X55,20,0)</f>
        <v>151.5</v>
      </c>
      <c r="F21" s="8">
        <f>VLOOKUP(A21,Dataset!A16:X55,22,0)</f>
        <v>75</v>
      </c>
    </row>
    <row r="22" spans="1:6" ht="14.4" x14ac:dyDescent="0.3">
      <c r="A22" s="7" t="s">
        <v>58</v>
      </c>
      <c r="B22" s="1">
        <f>VLOOKUP(A22,Dataset!A17:X56,7,0)</f>
        <v>-1</v>
      </c>
      <c r="C22" s="12">
        <f>VLOOKUP(A22,Dataset!A17:X56,14,0)</f>
        <v>-1</v>
      </c>
      <c r="D22" s="12">
        <f>VLOOKUP(A22,Dataset!A17:X56,18,0)</f>
        <v>-1</v>
      </c>
      <c r="E22" s="12">
        <f>VLOOKUP(A22,Dataset!A17:X56,20,0)</f>
        <v>-1</v>
      </c>
      <c r="F22" s="8">
        <f>VLOOKUP(A22,Dataset!A17:X56,22,0)</f>
        <v>-1</v>
      </c>
    </row>
    <row r="23" spans="1:6" ht="14.4" x14ac:dyDescent="0.3">
      <c r="A23" s="7" t="s">
        <v>31</v>
      </c>
      <c r="B23" s="1">
        <f>VLOOKUP(A23,Dataset!A18:X57,7,0)</f>
        <v>45</v>
      </c>
      <c r="C23" s="12">
        <f>VLOOKUP(A23,Dataset!A18:X57,14,0)</f>
        <v>133.4</v>
      </c>
      <c r="D23" s="12">
        <f>VLOOKUP(A23,Dataset!A18:X57,18,0)</f>
        <v>79.400000000000006</v>
      </c>
      <c r="E23" s="12">
        <f>VLOOKUP(A23,Dataset!A18:X57,20,0)</f>
        <v>160.9</v>
      </c>
      <c r="F23" s="8">
        <f>VLOOKUP(A23,Dataset!A18:X57,22,0)</f>
        <v>79.400000000000006</v>
      </c>
    </row>
    <row r="24" spans="1:6" ht="14.4" x14ac:dyDescent="0.3">
      <c r="A24" s="7" t="s">
        <v>32</v>
      </c>
      <c r="B24" s="1">
        <f>VLOOKUP(A24,Dataset!A19:X58,7,0)</f>
        <v>-1</v>
      </c>
      <c r="C24" s="12">
        <f>VLOOKUP(A24,Dataset!A19:X58,14,0)</f>
        <v>-1</v>
      </c>
      <c r="D24" s="12">
        <f>VLOOKUP(A24,Dataset!A19:X58,18,0)</f>
        <v>-1</v>
      </c>
      <c r="E24" s="12">
        <f>VLOOKUP(A24,Dataset!A19:X58,20,0)</f>
        <v>-1</v>
      </c>
      <c r="F24" s="8">
        <f>VLOOKUP(A24,Dataset!A19:X58,22,0)</f>
        <v>-1</v>
      </c>
    </row>
    <row r="25" spans="1:6" ht="14.4" x14ac:dyDescent="0.3">
      <c r="A25" s="7" t="s">
        <v>34</v>
      </c>
      <c r="B25" s="1">
        <f>VLOOKUP(A25,Dataset!A20:X59,7,0)</f>
        <v>43.3</v>
      </c>
      <c r="C25" s="12">
        <f>VLOOKUP(A25,Dataset!A20:X59,14,0)</f>
        <v>128.6</v>
      </c>
      <c r="D25" s="12">
        <f>VLOOKUP(A25,Dataset!A20:X59,18,0)</f>
        <v>79.400000000000006</v>
      </c>
      <c r="E25" s="12">
        <f>VLOOKUP(A25,Dataset!A20:X59,20,0)</f>
        <v>160.9</v>
      </c>
      <c r="F25" s="8">
        <f>VLOOKUP(A25,Dataset!A20:X59,22,0)</f>
        <v>79.400000000000006</v>
      </c>
    </row>
    <row r="26" spans="1:6" ht="14.4" x14ac:dyDescent="0.3">
      <c r="A26" s="7" t="s">
        <v>37</v>
      </c>
      <c r="B26" s="1">
        <f>VLOOKUP(A26,Dataset!A21:X60,7,0)</f>
        <v>49.1</v>
      </c>
      <c r="C26" s="12">
        <f>VLOOKUP(A26,Dataset!A21:X60,14,0)</f>
        <v>146.80000000000001</v>
      </c>
      <c r="D26" s="12">
        <f>VLOOKUP(A26,Dataset!A21:X60,18,0)</f>
        <v>90.9</v>
      </c>
      <c r="E26" s="12">
        <f>VLOOKUP(A26,Dataset!A21:X60,20,0)</f>
        <v>183.5</v>
      </c>
      <c r="F26" s="8">
        <f>VLOOKUP(A26,Dataset!A21:X60,22,0)</f>
        <v>90.9</v>
      </c>
    </row>
    <row r="27" spans="1:6" ht="14.4" x14ac:dyDescent="0.3">
      <c r="A27" s="7" t="s">
        <v>39</v>
      </c>
      <c r="B27" s="1">
        <f>VLOOKUP(A27,Dataset!A22:X61,7,0)</f>
        <v>51.8</v>
      </c>
      <c r="C27" s="12">
        <f>VLOOKUP(A27,Dataset!A22:X61,14,0)</f>
        <v>156.4</v>
      </c>
      <c r="D27" s="12">
        <f>VLOOKUP(A27,Dataset!A22:X61,18,0)</f>
        <v>93.1</v>
      </c>
      <c r="E27" s="12">
        <f>VLOOKUP(A27,Dataset!A22:X61,20,0)</f>
        <v>188.1</v>
      </c>
      <c r="F27" s="8">
        <f>VLOOKUP(A27,Dataset!A22:X61,22,0)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MAX(C7:C28)</f>
        <v>156.4</v>
      </c>
      <c r="D29" s="31">
        <f>MAX(D7:D28)</f>
        <v>93.1</v>
      </c>
      <c r="E29" s="31">
        <f>MAX(E7:E28)</f>
        <v>188.1</v>
      </c>
      <c r="F29" s="31">
        <f>MAX(F7:F28)</f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>AVERAGE(C8:C29)</f>
        <v>68.75</v>
      </c>
      <c r="D30" s="31">
        <f>AVERAGE(D8:D29)</f>
        <v>41.604545454545452</v>
      </c>
      <c r="E30" s="31">
        <f>AVERAGE(E8:E29)</f>
        <v>84.11363636363636</v>
      </c>
      <c r="F30" s="31">
        <f>AVERAGE(F8:F29)</f>
        <v>41.604545454545452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D52" sqref="D52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152</v>
      </c>
      <c r="B6" s="40"/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E9" sqref="E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179</v>
      </c>
    </row>
    <row r="7" spans="1:3" ht="14.4" x14ac:dyDescent="0.3">
      <c r="A7" s="3" t="s">
        <v>152</v>
      </c>
      <c r="B7" s="1" t="s">
        <v>180</v>
      </c>
    </row>
    <row r="10" spans="1:3" ht="23.4" x14ac:dyDescent="0.45">
      <c r="A10" s="18" t="s">
        <v>161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 t="e">
        <v>#N/A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5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="81" zoomScaleNormal="100" workbookViewId="0">
      <selection activeCell="E24" sqref="E2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152</v>
      </c>
      <c r="B5" s="1"/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DELL</cp:lastModifiedBy>
  <dcterms:created xsi:type="dcterms:W3CDTF">2015-02-10T17:33:11Z</dcterms:created>
  <dcterms:modified xsi:type="dcterms:W3CDTF">2024-10-24T15:15:54Z</dcterms:modified>
</cp:coreProperties>
</file>